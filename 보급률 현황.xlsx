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판매량분석보고서(분기별)\"/>
    </mc:Choice>
  </mc:AlternateContent>
  <xr:revisionPtr revIDLastSave="0" documentId="8_{CAA18292-2907-4A10-8E1F-61E3D142C32F}" xr6:coauthVersionLast="47" xr6:coauthVersionMax="47" xr10:uidLastSave="{00000000-0000-0000-0000-000000000000}"/>
  <bookViews>
    <workbookView xWindow="-120" yWindow="-120" windowWidth="29040" windowHeight="15720" xr2:uid="{E99002F5-CC9B-4C01-88EF-B907B39B7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25" i="1"/>
  <c r="D23" i="1"/>
  <c r="D19" i="1"/>
  <c r="D17" i="1"/>
  <c r="D15" i="1"/>
  <c r="D13" i="1"/>
  <c r="D11" i="1"/>
  <c r="D9" i="1"/>
  <c r="D7" i="1"/>
  <c r="D5" i="1"/>
  <c r="C30" i="1"/>
  <c r="C29" i="1"/>
  <c r="C22" i="1"/>
  <c r="C21" i="1"/>
  <c r="D21" i="1" s="1"/>
  <c r="C32" i="1" l="1"/>
  <c r="D29" i="1"/>
  <c r="C31" i="1"/>
  <c r="D31" i="1" s="1"/>
</calcChain>
</file>

<file path=xl/sharedStrings.xml><?xml version="1.0" encoding="utf-8"?>
<sst xmlns="http://schemas.openxmlformats.org/spreadsheetml/2006/main" count="48" uniqueCount="22">
  <si>
    <t>중구</t>
    <phoneticPr fontId="2" type="noConversion"/>
  </si>
  <si>
    <t>동구</t>
    <phoneticPr fontId="2" type="noConversion"/>
  </si>
  <si>
    <t>서구</t>
    <phoneticPr fontId="2" type="noConversion"/>
  </si>
  <si>
    <t>남구</t>
    <phoneticPr fontId="2" type="noConversion"/>
  </si>
  <si>
    <t>북구</t>
    <phoneticPr fontId="2" type="noConversion"/>
  </si>
  <si>
    <t>수성구</t>
    <phoneticPr fontId="2" type="noConversion"/>
  </si>
  <si>
    <t>달서구</t>
    <phoneticPr fontId="2" type="noConversion"/>
  </si>
  <si>
    <t>달성군</t>
    <phoneticPr fontId="2" type="noConversion"/>
  </si>
  <si>
    <t>대구시 계</t>
    <phoneticPr fontId="2" type="noConversion"/>
  </si>
  <si>
    <t>경산시</t>
    <phoneticPr fontId="2" type="noConversion"/>
  </si>
  <si>
    <t>고령군</t>
    <phoneticPr fontId="2" type="noConversion"/>
  </si>
  <si>
    <t>칠곡군</t>
    <phoneticPr fontId="2" type="noConversion"/>
  </si>
  <si>
    <t>경북 계</t>
    <phoneticPr fontId="2" type="noConversion"/>
  </si>
  <si>
    <t>전체</t>
    <phoneticPr fontId="2" type="noConversion"/>
  </si>
  <si>
    <t>구분</t>
    <phoneticPr fontId="2" type="noConversion"/>
  </si>
  <si>
    <t>수요가수</t>
    <phoneticPr fontId="2" type="noConversion"/>
  </si>
  <si>
    <t>세대수</t>
    <phoneticPr fontId="2" type="noConversion"/>
  </si>
  <si>
    <t>대상 세대</t>
    <phoneticPr fontId="2" type="noConversion"/>
  </si>
  <si>
    <t>보급률</t>
    <phoneticPr fontId="2" type="noConversion"/>
  </si>
  <si>
    <t>도시가스 보급률 현황</t>
    <phoneticPr fontId="2" type="noConversion"/>
  </si>
  <si>
    <t>■ 2025년 12월 기준</t>
    <phoneticPr fontId="2" type="noConversion"/>
  </si>
  <si>
    <t>※ 보급률 = 가정용 청구전수 ÷ 주민등록 세대수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</si>
</sst>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4" xfId="1" applyFont="1" applyBorder="1">
      <alignment vertical="center"/>
    </xf>
    <xf numFmtId="0" fontId="0" fillId="0" borderId="5" xfId="0" applyBorder="1" applyAlignment="1">
      <alignment horizontal="center" vertical="center"/>
    </xf>
    <xf numFmtId="41" fontId="0" fillId="0" borderId="6" xfId="1" applyFont="1" applyBorder="1">
      <alignment vertical="center"/>
    </xf>
    <xf numFmtId="0" fontId="3" fillId="2" borderId="3" xfId="0" applyFont="1" applyFill="1" applyBorder="1" applyAlignment="1">
      <alignment horizontal="center" vertical="center"/>
    </xf>
    <xf numFmtId="41" fontId="3" fillId="2" borderId="4" xfId="1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41" fontId="3" fillId="2" borderId="6" xfId="1" applyFont="1" applyFill="1" applyBorder="1">
      <alignment vertical="center"/>
    </xf>
    <xf numFmtId="41" fontId="3" fillId="3" borderId="4" xfId="1" applyFont="1" applyFill="1" applyBorder="1">
      <alignment vertical="center"/>
    </xf>
    <xf numFmtId="41" fontId="3" fillId="3" borderId="6" xfId="1" applyFont="1" applyFill="1" applyBorder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Continuous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76" fontId="3" fillId="3" borderId="1" xfId="2" applyNumberFormat="1" applyFont="1" applyFill="1" applyBorder="1" applyAlignment="1">
      <alignment horizontal="center" vertical="center"/>
    </xf>
    <xf numFmtId="176" fontId="0" fillId="0" borderId="1" xfId="2" applyNumberFormat="1" applyFont="1" applyBorder="1" applyAlignment="1">
      <alignment horizontal="center" vertical="center"/>
    </xf>
    <xf numFmtId="176" fontId="3" fillId="2" borderId="1" xfId="2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1342-395A-405F-848C-DEEAC17BE321}">
  <dimension ref="A1:D33"/>
  <sheetViews>
    <sheetView tabSelected="1" topLeftCell="A7" workbookViewId="0">
      <selection activeCell="G27" sqref="G27"/>
    </sheetView>
  </sheetViews>
  <sheetFormatPr defaultRowHeight="16.5" x14ac:dyDescent="0.3"/>
  <cols>
    <col min="1" max="1" width="11.875" customWidth="1"/>
    <col min="2" max="2" width="13.875" customWidth="1"/>
    <col min="3" max="4" width="15" customWidth="1"/>
  </cols>
  <sheetData>
    <row r="1" spans="1:4" ht="26.25" x14ac:dyDescent="0.3">
      <c r="A1" s="13" t="s">
        <v>19</v>
      </c>
      <c r="B1" s="13"/>
      <c r="C1" s="13"/>
      <c r="D1" s="13"/>
    </row>
    <row r="2" spans="1:4" ht="24" customHeight="1" x14ac:dyDescent="0.3"/>
    <row r="3" spans="1:4" ht="24" customHeight="1" x14ac:dyDescent="0.3">
      <c r="A3" t="s">
        <v>20</v>
      </c>
    </row>
    <row r="4" spans="1:4" ht="25.5" customHeight="1" x14ac:dyDescent="0.3">
      <c r="A4" s="21" t="s">
        <v>14</v>
      </c>
      <c r="B4" s="21"/>
      <c r="C4" s="1" t="s">
        <v>16</v>
      </c>
      <c r="D4" s="1" t="s">
        <v>18</v>
      </c>
    </row>
    <row r="5" spans="1:4" x14ac:dyDescent="0.3">
      <c r="A5" s="22" t="s">
        <v>0</v>
      </c>
      <c r="B5" s="2" t="s">
        <v>15</v>
      </c>
      <c r="C5" s="3">
        <v>49019</v>
      </c>
      <c r="D5" s="17">
        <f>C5/C6</f>
        <v>0.97342971185733862</v>
      </c>
    </row>
    <row r="6" spans="1:4" x14ac:dyDescent="0.3">
      <c r="A6" s="22"/>
      <c r="B6" s="4" t="s">
        <v>17</v>
      </c>
      <c r="C6" s="5">
        <v>50357</v>
      </c>
      <c r="D6" s="17"/>
    </row>
    <row r="7" spans="1:4" x14ac:dyDescent="0.3">
      <c r="A7" s="22" t="s">
        <v>1</v>
      </c>
      <c r="B7" s="2" t="s">
        <v>15</v>
      </c>
      <c r="C7" s="3">
        <v>157599</v>
      </c>
      <c r="D7" s="17">
        <f t="shared" ref="D7" si="0">C7/C8</f>
        <v>0.95179398602496668</v>
      </c>
    </row>
    <row r="8" spans="1:4" x14ac:dyDescent="0.3">
      <c r="A8" s="22"/>
      <c r="B8" s="4" t="s">
        <v>17</v>
      </c>
      <c r="C8" s="5">
        <v>165581</v>
      </c>
      <c r="D8" s="17"/>
    </row>
    <row r="9" spans="1:4" x14ac:dyDescent="0.3">
      <c r="A9" s="22" t="s">
        <v>2</v>
      </c>
      <c r="B9" s="2" t="s">
        <v>15</v>
      </c>
      <c r="C9" s="3">
        <v>81447</v>
      </c>
      <c r="D9" s="17">
        <f t="shared" ref="D9" si="1">C9/C10</f>
        <v>0.95622006198929277</v>
      </c>
    </row>
    <row r="10" spans="1:4" x14ac:dyDescent="0.3">
      <c r="A10" s="22"/>
      <c r="B10" s="4" t="s">
        <v>17</v>
      </c>
      <c r="C10" s="5">
        <v>85176</v>
      </c>
      <c r="D10" s="17"/>
    </row>
    <row r="11" spans="1:4" x14ac:dyDescent="0.3">
      <c r="A11" s="22" t="s">
        <v>3</v>
      </c>
      <c r="B11" s="2" t="s">
        <v>15</v>
      </c>
      <c r="C11" s="3">
        <v>73067</v>
      </c>
      <c r="D11" s="17">
        <f t="shared" ref="D11" si="2">C11/C12</f>
        <v>0.9675825994835463</v>
      </c>
    </row>
    <row r="12" spans="1:4" x14ac:dyDescent="0.3">
      <c r="A12" s="22"/>
      <c r="B12" s="4" t="s">
        <v>17</v>
      </c>
      <c r="C12" s="5">
        <v>75515</v>
      </c>
      <c r="D12" s="17"/>
    </row>
    <row r="13" spans="1:4" x14ac:dyDescent="0.3">
      <c r="A13" s="22" t="s">
        <v>4</v>
      </c>
      <c r="B13" s="2" t="s">
        <v>15</v>
      </c>
      <c r="C13" s="3">
        <v>194999</v>
      </c>
      <c r="D13" s="17">
        <f t="shared" ref="D13" si="3">C13/C14</f>
        <v>1.0103889240080002</v>
      </c>
    </row>
    <row r="14" spans="1:4" x14ac:dyDescent="0.3">
      <c r="A14" s="22"/>
      <c r="B14" s="4" t="s">
        <v>17</v>
      </c>
      <c r="C14" s="5">
        <v>192994</v>
      </c>
      <c r="D14" s="17"/>
    </row>
    <row r="15" spans="1:4" x14ac:dyDescent="0.3">
      <c r="A15" s="22" t="s">
        <v>5</v>
      </c>
      <c r="B15" s="2" t="s">
        <v>15</v>
      </c>
      <c r="C15" s="3">
        <v>177859</v>
      </c>
      <c r="D15" s="17">
        <f t="shared" ref="D15" si="4">C15/C16</f>
        <v>1.006183315796024</v>
      </c>
    </row>
    <row r="16" spans="1:4" x14ac:dyDescent="0.3">
      <c r="A16" s="22"/>
      <c r="B16" s="4" t="s">
        <v>17</v>
      </c>
      <c r="C16" s="5">
        <v>176766</v>
      </c>
      <c r="D16" s="17"/>
    </row>
    <row r="17" spans="1:4" x14ac:dyDescent="0.3">
      <c r="A17" s="22" t="s">
        <v>6</v>
      </c>
      <c r="B17" s="2" t="s">
        <v>15</v>
      </c>
      <c r="C17" s="3">
        <v>231328</v>
      </c>
      <c r="D17" s="17">
        <f t="shared" ref="D17" si="5">C17/C18</f>
        <v>0.96933127171093703</v>
      </c>
    </row>
    <row r="18" spans="1:4" x14ac:dyDescent="0.3">
      <c r="A18" s="22"/>
      <c r="B18" s="4" t="s">
        <v>17</v>
      </c>
      <c r="C18" s="5">
        <v>238647</v>
      </c>
      <c r="D18" s="17"/>
    </row>
    <row r="19" spans="1:4" x14ac:dyDescent="0.3">
      <c r="A19" s="22" t="s">
        <v>7</v>
      </c>
      <c r="B19" s="2" t="s">
        <v>15</v>
      </c>
      <c r="C19" s="3">
        <v>105681</v>
      </c>
      <c r="D19" s="17">
        <f t="shared" ref="D19" si="6">C19/C20</f>
        <v>0.9272052501359912</v>
      </c>
    </row>
    <row r="20" spans="1:4" x14ac:dyDescent="0.3">
      <c r="A20" s="22"/>
      <c r="B20" s="4" t="s">
        <v>17</v>
      </c>
      <c r="C20" s="5">
        <v>113978</v>
      </c>
      <c r="D20" s="17"/>
    </row>
    <row r="21" spans="1:4" x14ac:dyDescent="0.3">
      <c r="A21" s="19" t="s">
        <v>8</v>
      </c>
      <c r="B21" s="6" t="s">
        <v>15</v>
      </c>
      <c r="C21" s="7">
        <f>SUM(C5,C7,C9,C11,C13,C15,C17,C19)</f>
        <v>1070999</v>
      </c>
      <c r="D21" s="18">
        <f t="shared" ref="D21" si="7">C21/C22</f>
        <v>0.97450896894853023</v>
      </c>
    </row>
    <row r="22" spans="1:4" x14ac:dyDescent="0.3">
      <c r="A22" s="19"/>
      <c r="B22" s="8" t="s">
        <v>17</v>
      </c>
      <c r="C22" s="9">
        <f>SUM(C6,C8,C10,C12,C14,C16,C18,C20)</f>
        <v>1099014</v>
      </c>
      <c r="D22" s="18"/>
    </row>
    <row r="23" spans="1:4" x14ac:dyDescent="0.3">
      <c r="A23" s="22" t="s">
        <v>9</v>
      </c>
      <c r="B23" s="2" t="s">
        <v>15</v>
      </c>
      <c r="C23" s="3">
        <v>133612</v>
      </c>
      <c r="D23" s="17">
        <f t="shared" ref="D23" si="8">C23/C24</f>
        <v>1.0133790425338269</v>
      </c>
    </row>
    <row r="24" spans="1:4" x14ac:dyDescent="0.3">
      <c r="A24" s="22"/>
      <c r="B24" s="4" t="s">
        <v>17</v>
      </c>
      <c r="C24" s="5">
        <v>131848</v>
      </c>
      <c r="D24" s="17"/>
    </row>
    <row r="25" spans="1:4" x14ac:dyDescent="0.3">
      <c r="A25" s="22" t="s">
        <v>10</v>
      </c>
      <c r="B25" s="2" t="s">
        <v>15</v>
      </c>
      <c r="C25" s="3">
        <v>6592</v>
      </c>
      <c r="D25" s="17">
        <f t="shared" ref="D25" si="9">C25/C26</f>
        <v>0.38009571585077551</v>
      </c>
    </row>
    <row r="26" spans="1:4" x14ac:dyDescent="0.3">
      <c r="A26" s="22"/>
      <c r="B26" s="4" t="s">
        <v>17</v>
      </c>
      <c r="C26" s="5">
        <v>17343</v>
      </c>
      <c r="D26" s="17"/>
    </row>
    <row r="27" spans="1:4" x14ac:dyDescent="0.3">
      <c r="A27" s="22" t="s">
        <v>11</v>
      </c>
      <c r="B27" s="2" t="s">
        <v>15</v>
      </c>
      <c r="C27" s="3"/>
      <c r="D27" s="17">
        <f t="shared" ref="D27" si="10">C27/C28</f>
        <v>0</v>
      </c>
    </row>
    <row r="28" spans="1:4" x14ac:dyDescent="0.3">
      <c r="A28" s="22"/>
      <c r="B28" s="4" t="s">
        <v>17</v>
      </c>
      <c r="C28" s="5">
        <v>2865</v>
      </c>
      <c r="D28" s="17"/>
    </row>
    <row r="29" spans="1:4" x14ac:dyDescent="0.3">
      <c r="A29" s="19" t="s">
        <v>12</v>
      </c>
      <c r="B29" s="6" t="s">
        <v>15</v>
      </c>
      <c r="C29" s="7">
        <f>SUM(C23,C25,C27)</f>
        <v>140204</v>
      </c>
      <c r="D29" s="18">
        <f t="shared" ref="D29" si="11">C29/C30</f>
        <v>0.92205503235650021</v>
      </c>
    </row>
    <row r="30" spans="1:4" x14ac:dyDescent="0.3">
      <c r="A30" s="19"/>
      <c r="B30" s="8" t="s">
        <v>17</v>
      </c>
      <c r="C30" s="9">
        <f>SUM(C24,C26,C28)</f>
        <v>152056</v>
      </c>
      <c r="D30" s="18"/>
    </row>
    <row r="31" spans="1:4" x14ac:dyDescent="0.3">
      <c r="A31" s="20" t="s">
        <v>13</v>
      </c>
      <c r="B31" s="14" t="s">
        <v>15</v>
      </c>
      <c r="C31" s="10">
        <f>SUM(C21,C29)</f>
        <v>1211203</v>
      </c>
      <c r="D31" s="16">
        <f t="shared" ref="D31" si="12">C31/C32</f>
        <v>0.96813367757199842</v>
      </c>
    </row>
    <row r="32" spans="1:4" x14ac:dyDescent="0.3">
      <c r="A32" s="20"/>
      <c r="B32" s="15" t="s">
        <v>17</v>
      </c>
      <c r="C32" s="11">
        <f>SUM(C22,C30)</f>
        <v>1251070</v>
      </c>
      <c r="D32" s="16"/>
    </row>
    <row r="33" spans="1:1" ht="29.25" customHeight="1" x14ac:dyDescent="0.3">
      <c r="A33" s="12" t="s">
        <v>21</v>
      </c>
    </row>
  </sheetData>
  <mergeCells count="29">
    <mergeCell ref="A15:A16"/>
    <mergeCell ref="A5:A6"/>
    <mergeCell ref="A7:A8"/>
    <mergeCell ref="A13:A14"/>
    <mergeCell ref="A11:A12"/>
    <mergeCell ref="A9:A10"/>
    <mergeCell ref="A29:A30"/>
    <mergeCell ref="A31:A32"/>
    <mergeCell ref="A4:B4"/>
    <mergeCell ref="D5:D6"/>
    <mergeCell ref="D7:D8"/>
    <mergeCell ref="D9:D10"/>
    <mergeCell ref="D11:D12"/>
    <mergeCell ref="D13:D14"/>
    <mergeCell ref="D15:D16"/>
    <mergeCell ref="D17:D18"/>
    <mergeCell ref="A17:A18"/>
    <mergeCell ref="A19:A20"/>
    <mergeCell ref="A21:A22"/>
    <mergeCell ref="A23:A24"/>
    <mergeCell ref="A25:A26"/>
    <mergeCell ref="A27:A28"/>
    <mergeCell ref="D31:D32"/>
    <mergeCell ref="D19:D20"/>
    <mergeCell ref="D21:D22"/>
    <mergeCell ref="D23:D24"/>
    <mergeCell ref="D25:D26"/>
    <mergeCell ref="D27:D28"/>
    <mergeCell ref="D29:D3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한엽</cp:lastModifiedBy>
  <dcterms:created xsi:type="dcterms:W3CDTF">2026-06-24T04:35:32Z</dcterms:created>
  <dcterms:modified xsi:type="dcterms:W3CDTF">2026-06-24T05:12:02Z</dcterms:modified>
</cp:coreProperties>
</file>